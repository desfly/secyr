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38010b668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7503e70853c0482d"/>
    <x:sheet xmlns:r="http://schemas.openxmlformats.org/officeDocument/2006/relationships" name="Wiring" sheetId="2" r:id="R9eca734e6a234322"/>
    <x:sheet xmlns:r="http://schemas.openxmlformats.org/officeDocument/2006/relationships" name="Power budget" sheetId="3" r:id="R864f9b2794a245a8"/>
    <x:sheet xmlns:r="http://schemas.openxmlformats.org/officeDocument/2006/relationships" name="Bench checklist" sheetId="4" r:id="R2a6e56b7d89a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2" fillId="4" borderId="0" xfId="0" applyNumberFormat="1" applyFont="1" applyFill="1" applyBorder="1"/>
    <x:xf numFmtId="200" fontId="0" fillId="0" borderId="1" xfId="0" applyNumberFormat="1" applyFont="1" applyFill="1" applyBorder="1"/>
    <x:xf numFmtId="20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 patternType="solid">
          <x:bgColor rgb="FFC6EF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23863091c4080" /><Relationship Type="http://schemas.openxmlformats.org/officeDocument/2006/relationships/theme" Target="/xl/theme/theme1.xml" Id="Rbe734435766d47ca" /><Relationship Type="http://schemas.openxmlformats.org/officeDocument/2006/relationships/sharedStrings" Target="/xl/sharedStrings.xml" Id="R94f98cfd4ea64947" /><Relationship Type="http://schemas.openxmlformats.org/officeDocument/2006/relationships/worksheet" Target="/xl/worksheets/sheet1.xml" Id="R7503e70853c0482d" /><Relationship Type="http://schemas.openxmlformats.org/officeDocument/2006/relationships/worksheet" Target="/xl/worksheets/sheet2.xml" Id="R9eca734e6a234322" /><Relationship Type="http://schemas.openxmlformats.org/officeDocument/2006/relationships/worksheet" Target="/xl/worksheets/sheet3.xml" Id="R864f9b2794a245a8" /><Relationship Type="http://schemas.openxmlformats.org/officeDocument/2006/relationships/worksheet" Target="/xl/worksheets/sheet4.xml" Id="R2a6e56b7d89a48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e5774f20f34d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Estimated load power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Voltage V</c:v>
          </c:tx>
          <c:cat>
            <c:strRef>
              <c:f>'Power budget'!$A$3:$A$11</c:f>
              <c:strCache>
                <c:ptCount val="0"/>
              </c:strCache>
            </c:strRef>
          </c:cat>
          <c:val>
            <c:numRef>
              <c:f>'Power budget'!$B$3:$B$11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Current A</c:v>
          </c:tx>
          <c:cat>
            <c:strRef>
              <c:f>'Power budget'!$A$3:$A$11</c:f>
              <c:strCache>
                <c:ptCount val="0"/>
              </c:strCache>
            </c:strRef>
          </c:cat>
          <c:val>
            <c:numRef>
              <c:f>'Power budget'!$C$3:$C$11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Quantity</c:v>
          </c:tx>
          <c:cat>
            <c:strRef>
              <c:f>'Power budget'!$A$3:$A$11</c:f>
              <c:strCache>
                <c:ptCount val="0"/>
              </c:strCache>
            </c:strRef>
          </c:cat>
          <c:val>
            <c:numRef>
              <c:f>'Power budget'!$D$3:$D$11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Power W</c:v>
          </c:tx>
          <c:cat>
            <c:strRef>
              <c:f>'Power budget'!$A$3:$A$11</c:f>
              <c:strCache>
                <c:ptCount val="0"/>
              </c:strCache>
            </c:strRef>
          </c:cat>
          <c:val>
            <c:numRef>
              <c:f>'Power budget'!$E$3:$E$11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e5774f20f34d9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MTable" displayName="BOMTable" ref="A2:E23" headerRowCount="1">
  <x:tableColumns count="5">
    <x:tableColumn id="1" name="Category"/>
    <x:tableColumn id="2" name="Item"/>
    <x:tableColumn id="3" name="Quantity"/>
    <x:tableColumn id="4" name="Specification"/>
    <x:tableColumn id="5" name="Purpose"/>
  </x:tableColumns>
  <x:tableStyleInfo name="TableStyleMedium2" showRowStripes="1"/>
</x:table>
</file>

<file path=xl/tables/table2.xml><?xml version="1.0" encoding="utf-8"?>
<x:table xmlns:x="http://schemas.openxmlformats.org/spreadsheetml/2006/main" id="2" name="WiringTable" displayName="WiringTable" ref="A2:D22" headerRowCount="1">
  <x:tableColumns count="4">
    <x:tableColumn id="1" name="Function"/>
    <x:tableColumn id="2" name="HW-678 pin"/>
    <x:tableColumn id="3" name="Destination"/>
    <x:tableColumn id="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BenchChecklistTable" displayName="BenchChecklistTable" ref="A1:D16" headerRowCount="1">
  <x:tableColumns count="4">
    <x:tableColumn id="1" name="Stage"/>
    <x:tableColumn id="2" name="Check"/>
    <x:tableColumn id="3" name="Expected result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59ae584ee44d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7c3888189d40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14d6a601d5544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a6d24e1d9147c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0" hidden="0" customWidth="1"/>
    <x:col min="4" max="4" width="36" hidden="0" customWidth="1"/>
    <x:col min="5" max="5" width="24" hidden="0" customWidth="1"/>
  </x:cols>
  <x:sheetData>
    <x:row r="1" ht="28" customHeight="1">
      <x:c r="A1" s="5" t="str">
        <x:v>HomeGuard-S3 Build-0026 — Bill of Materials</x:v>
      </x:c>
      <x:c r="B1" s="5"/>
      <x:c r="C1" s="5"/>
      <x:c r="D1" s="5"/>
      <x:c r="E1" s="5"/>
    </x:row>
    <x:row r="2">
      <x:c r="A2" s="13" t="str">
        <x:v>Category</x:v>
      </x:c>
      <x:c r="B2" s="13" t="str">
        <x:v>Item</x:v>
      </x:c>
      <x:c r="C2" s="13" t="str">
        <x:v>Quantity</x:v>
      </x:c>
      <x:c r="D2" s="13" t="str">
        <x:v>Specification</x:v>
      </x:c>
      <x:c r="E2" s="13" t="str">
        <x:v>Purpose</x:v>
      </x:c>
    </x:row>
    <x:row r="3">
      <x:c r="A3" s="18" t="str">
        <x:v>Controller</x:v>
      </x:c>
      <x:c r="B3" s="18" t="str">
        <x:v>ESP32-S3 HW-678 V0.0.0 N16R8</x:v>
      </x:c>
      <x:c r="C3" s="18" t="n">
        <x:v>1</x:v>
      </x:c>
      <x:c r="D3" s="18" t="str">
        <x:v>16 MB flash, 8 MB OPI PSRAM</x:v>
      </x:c>
      <x:c r="E3" s="18" t="str">
        <x:v>exact user board</x:v>
      </x:c>
    </x:row>
    <x:row r="4">
      <x:c r="A4" s="18" t="str">
        <x:v>ADC</x:v>
      </x:c>
      <x:c r="B4" s="18" t="str">
        <x:v>ADS1115 module</x:v>
      </x:c>
      <x:c r="C4" s="18" t="n">
        <x:v>2</x:v>
      </x:c>
      <x:c r="D4" s="18" t="str">
        <x:v>3.3 V logic; addresses 0x48 and 0x49</x:v>
      </x:c>
      <x:c r="E4" s="18" t="str">
        <x:v>zones and pressure</x:v>
      </x:c>
    </x:row>
    <x:row r="5">
      <x:c r="A5" s="18" t="str">
        <x:v>I/O expander</x:v>
      </x:c>
      <x:c r="B5" s="18" t="str">
        <x:v>MCP23017</x:v>
      </x:c>
      <x:c r="C5" s="18" t="n">
        <x:v>1</x:v>
      </x:c>
      <x:c r="D5" s="18" t="str">
        <x:v>address 0x20</x:v>
      </x:c>
      <x:c r="E5" s="18" t="str">
        <x:v>outputs/end switches</x:v>
      </x:c>
    </x:row>
    <x:row r="6">
      <x:c r="A6" s="18" t="str">
        <x:v>Low-side driver</x:v>
      </x:c>
      <x:c r="B6" s="18" t="str">
        <x:v>ULN2803A or MOSFET driver board</x:v>
      </x:c>
      <x:c r="C6" s="18" t="n">
        <x:v>1</x:v>
      </x:c>
      <x:c r="D6" s="18" t="str">
        <x:v>3.3 V input compatible</x:v>
      </x:c>
      <x:c r="E6" s="18" t="str">
        <x:v>not for reversing bare motor</x:v>
      </x:c>
    </x:row>
    <x:row r="7">
      <x:c r="A7" s="18" t="str">
        <x:v>RTC</x:v>
      </x:c>
      <x:c r="B7" s="18" t="str">
        <x:v>DS3231 module</x:v>
      </x:c>
      <x:c r="C7" s="18" t="n">
        <x:v>1</x:v>
      </x:c>
      <x:c r="D7" s="18" t="str">
        <x:v>backup cell</x:v>
      </x:c>
      <x:c r="E7" s="18" t="str">
        <x:v>exact time</x:v>
      </x:c>
    </x:row>
    <x:row r="8">
      <x:c r="A8" s="18" t="str">
        <x:v>Ethernet</x:v>
      </x:c>
      <x:c r="B8" s="18" t="str">
        <x:v>W5500 3.3 V module</x:v>
      </x:c>
      <x:c r="C8" s="18" t="n">
        <x:v>1</x:v>
      </x:c>
      <x:c r="D8" s="18" t="str">
        <x:v>SPI, INT and RESET exposed</x:v>
      </x:c>
      <x:c r="E8" s="18" t="str">
        <x:v>LAN</x:v>
      </x:c>
    </x:row>
    <x:row r="9">
      <x:c r="A9" s="18" t="str">
        <x:v>Storage</x:v>
      </x:c>
      <x:c r="B9" s="18" t="str">
        <x:v>microSD 3.3 V SPI adapter</x:v>
      </x:c>
      <x:c r="C9" s="18" t="n">
        <x:v>1</x:v>
      </x:c>
      <x:c r="D9" s="18" t="str">
        <x:v>no 5 V-only level shifter</x:v>
      </x:c>
      <x:c r="E9" s="18" t="str">
        <x:v>journal backup</x:v>
      </x:c>
    </x:row>
    <x:row r="10">
      <x:c r="A10" s="18" t="str">
        <x:v>Battery monitor</x:v>
      </x:c>
      <x:c r="B10" s="18" t="str">
        <x:v>INA226 module</x:v>
      </x:c>
      <x:c r="C10" s="18" t="n">
        <x:v>1</x:v>
      </x:c>
      <x:c r="D10" s="18" t="str">
        <x:v>verify actual shunt value</x:v>
      </x:c>
      <x:c r="E10" s="18" t="str">
        <x:v>3S2P battery</x:v>
      </x:c>
    </x:row>
    <x:row r="11">
      <x:c r="A11" s="18" t="str">
        <x:v>Temperature</x:v>
      </x:c>
      <x:c r="B11" s="18" t="str">
        <x:v>DS18B20 waterproof probe</x:v>
      </x:c>
      <x:c r="C11" s="18" t="n">
        <x:v>2</x:v>
      </x:c>
      <x:c r="D11" s="18" t="str">
        <x:v>three-wire powered mode</x:v>
      </x:c>
      <x:c r="E11" s="18" t="str">
        <x:v>cold/hot water</x:v>
      </x:c>
    </x:row>
    <x:row r="12">
      <x:c r="A12" s="18" t="str">
        <x:v>Pressure</x:v>
      </x:c>
      <x:c r="B12" s="18" t="str">
        <x:v>PT-506 4-20 mA 0-10 bar</x:v>
      </x:c>
      <x:c r="C12" s="18" t="n">
        <x:v>2</x:v>
      </x:c>
      <x:c r="D12" s="18" t="str">
        <x:v>12-24 V loop</x:v>
      </x:c>
      <x:c r="E12" s="18" t="str">
        <x:v>cold/hot water</x:v>
      </x:c>
    </x:row>
    <x:row r="13">
      <x:c r="A13" s="18" t="str">
        <x:v>Pressure shunt</x:v>
      </x:c>
      <x:c r="B13" s="18" t="str">
        <x:v>120 ohm 0.1% resistor</x:v>
      </x:c>
      <x:c r="C13" s="18" t="n">
        <x:v>2</x:v>
      </x:c>
      <x:c r="D13" s="18" t="str">
        <x:v>0.25 W minimum</x:v>
      </x:c>
      <x:c r="E13" s="18" t="str">
        <x:v>4-20 mA conversion</x:v>
      </x:c>
    </x:row>
    <x:row r="14">
      <x:c r="A14" s="18" t="str">
        <x:v>End-of-line resistor</x:v>
      </x:c>
      <x:c r="B14" s="18" t="str">
        <x:v>3.0 kohm 1%</x:v>
      </x:c>
      <x:c r="C14" s="18" t="n">
        <x:v>5</x:v>
      </x:c>
      <x:c r="D14" s="18" t="str">
        <x:v>installed at sensor end</x:v>
      </x:c>
      <x:c r="E14" s="18" t="str">
        <x:v>supervised zones</x:v>
      </x:c>
    </x:row>
    <x:row r="15">
      <x:c r="A15" s="18" t="str">
        <x:v>RS-485</x:v>
      </x:c>
      <x:c r="B15" s="18" t="str">
        <x:v>isolated 3.3 V RS-485 module</x:v>
      </x:c>
      <x:c r="C15" s="18" t="n">
        <x:v>1</x:v>
      </x:c>
      <x:c r="D15" s="18" t="str">
        <x:v>DE/RE exposed</x:v>
      </x:c>
      <x:c r="E15" s="18" t="str">
        <x:v>energy meter</x:v>
      </x:c>
    </x:row>
    <x:row r="16">
      <x:c r="A16" s="18" t="str">
        <x:v>12 V supply</x:v>
      </x:c>
      <x:c r="B16" s="18" t="str">
        <x:v>certified isolated 12 V 5 A PSU</x:v>
      </x:c>
      <x:c r="C16" s="18" t="n">
        <x:v>1</x:v>
      </x:c>
      <x:c r="D16" s="18" t="str">
        <x:v>size after actuator current is known</x:v>
      </x:c>
      <x:c r="E16" s="18" t="str">
        <x:v>main power</x:v>
      </x:c>
    </x:row>
    <x:row r="17">
      <x:c r="A17" s="18" t="str">
        <x:v>5 V converter</x:v>
      </x:c>
      <x:c r="B17" s="18" t="str">
        <x:v>12 V to 5 V buck</x:v>
      </x:c>
      <x:c r="C17" s="18" t="n">
        <x:v>1</x:v>
      </x:c>
      <x:c r="D17" s="18" t="str">
        <x:v>at least 2 A</x:v>
      </x:c>
      <x:c r="E17" s="18" t="str">
        <x:v>peripherals</x:v>
      </x:c>
    </x:row>
    <x:row r="18">
      <x:c r="A18" s="18" t="str">
        <x:v>3.3 V converter</x:v>
      </x:c>
      <x:c r="B18" s="18" t="str">
        <x:v>12/5 V to 3.3 V regulator</x:v>
      </x:c>
      <x:c r="C18" s="18" t="n">
        <x:v>1</x:v>
      </x:c>
      <x:c r="D18" s="18" t="str">
        <x:v>at least 1.5 A peak</x:v>
      </x:c>
      <x:c r="E18" s="18" t="str">
        <x:v>logic rail</x:v>
      </x:c>
    </x:row>
    <x:row r="19">
      <x:c r="A19" s="18" t="str">
        <x:v>Fuse holder</x:v>
      </x:c>
      <x:c r="B19" s="18" t="str">
        <x:v>replaceable fuse holders</x:v>
      </x:c>
      <x:c r="C19" s="18" t="n">
        <x:v>4</x:v>
      </x:c>
      <x:c r="D19" s="18" t="str">
        <x:v>main + two valves + auxiliary</x:v>
      </x:c>
      <x:c r="E19" s="18" t="str">
        <x:v>protection</x:v>
      </x:c>
    </x:row>
    <x:row r="20">
      <x:c r="A20" s="18" t="str">
        <x:v>TVS</x:v>
      </x:c>
      <x:c r="B20" s="18" t="str">
        <x:v>12 V automotive/industrial TVS</x:v>
      </x:c>
      <x:c r="C20" s="18" t="n">
        <x:v>4</x:v>
      </x:c>
      <x:c r="D20" s="18" t="str">
        <x:v>select for actual rail</x:v>
      </x:c>
      <x:c r="E20" s="18" t="str">
        <x:v>long cable protection</x:v>
      </x:c>
    </x:row>
    <x:row r="21">
      <x:c r="A21" s="18" t="str">
        <x:v>Relay/H-bridge</x:v>
      </x:c>
      <x:c r="B21" s="18" t="str">
        <x:v>interlocked reversible valve driver</x:v>
      </x:c>
      <x:c r="C21" s="18" t="n">
        <x:v>2</x:v>
      </x:c>
      <x:c r="D21" s="18" t="str">
        <x:v>rated above valve stall current</x:v>
      </x:c>
      <x:c r="E21" s="18" t="str">
        <x:v>valves</x:v>
      </x:c>
    </x:row>
    <x:row r="22">
      <x:c r="A22" s="18" t="str">
        <x:v>Terminal blocks</x:v>
      </x:c>
      <x:c r="B22" s="18" t="str">
        <x:v>pluggable screw terminals</x:v>
      </x:c>
      <x:c r="C22" s="18" t="n">
        <x:v>1</x:v>
      </x:c>
      <x:c r="D22" s="18" t="str">
        <x:v>quantity by connector plan</x:v>
      </x:c>
      <x:c r="E22" s="18" t="str">
        <x:v>field wiring</x:v>
      </x:c>
    </x:row>
    <x:row r="23">
      <x:c r="A23" s="18" t="str">
        <x:v>Enclosure</x:v>
      </x:c>
      <x:c r="B23" s="18" t="str">
        <x:v>DIN/metal enclosure</x:v>
      </x:c>
      <x:c r="C23" s="18" t="n">
        <x:v>1</x:v>
      </x:c>
      <x:c r="D23" s="18" t="str">
        <x:v>separate mains and SELV compartments</x:v>
      </x:c>
      <x:c r="E23" s="18" t="str">
        <x:v>safety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759ae584ee44d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4" hidden="0" customWidth="1"/>
    <x:col min="4" max="4" width="32" hidden="0" customWidth="1"/>
  </x:cols>
  <x:sheetData>
    <x:row r="1" ht="28" customHeight="1">
      <x:c r="A1" s="4" t="str">
        <x:v>HW-678 GPIO and module wiring</x:v>
      </x:c>
      <x:c r="B1" s="4"/>
      <x:c r="C1" s="4"/>
      <x:c r="D1" s="4"/>
    </x:row>
    <x:row r="2">
      <x:c r="A2" s="13" t="str">
        <x:v>Function</x:v>
      </x:c>
      <x:c r="B2" s="13" t="str">
        <x:v>HW-678 pin</x:v>
      </x:c>
      <x:c r="C2" s="13" t="str">
        <x:v>Destination</x:v>
      </x:c>
      <x:c r="D2" s="13" t="str">
        <x:v>Notes</x:v>
      </x:c>
    </x:row>
    <x:row r="3">
      <x:c r="A3" s="18" t="str">
        <x:v>I2C SDA</x:v>
      </x:c>
      <x:c r="B3" s="18" t="str">
        <x:v>GPIO4</x:v>
      </x:c>
      <x:c r="C3" s="18" t="str">
        <x:v>ADS1115 x2, MCP23017, INA226, DS3231</x:v>
      </x:c>
      <x:c r="D3" s="18" t="str">
        <x:v>3.3 V only</x:v>
      </x:c>
    </x:row>
    <x:row r="4">
      <x:c r="A4" s="18" t="str">
        <x:v>I2C SCL</x:v>
      </x:c>
      <x:c r="B4" s="18" t="str">
        <x:v>GPIO5</x:v>
      </x:c>
      <x:c r="C4" s="18" t="str">
        <x:v>ADS1115 x2, MCP23017, INA226, DS3231</x:v>
      </x:c>
      <x:c r="D4" s="18" t="str">
        <x:v>3.3 V only</x:v>
      </x:c>
    </x:row>
    <x:row r="5">
      <x:c r="A5" s="18" t="str">
        <x:v>1-Wire</x:v>
      </x:c>
      <x:c r="B5" s="18" t="str">
        <x:v>GPIO6</x:v>
      </x:c>
      <x:c r="C5" s="18" t="str">
        <x:v>DS18B20 x2</x:v>
      </x:c>
      <x:c r="D5" s="18" t="str">
        <x:v>4.7 kΩ pull-up</x:v>
      </x:c>
    </x:row>
    <x:row r="6">
      <x:c r="A6" s="18" t="str">
        <x:v>RTC INT</x:v>
      </x:c>
      <x:c r="B6" s="18" t="str">
        <x:v>GPIO7</x:v>
      </x:c>
      <x:c r="C6" s="18" t="str">
        <x:v>DS3231 INT/SQW</x:v>
      </x:c>
      <x:c r="D6" s="18" t="str">
        <x:v>optional interrupt</x:v>
      </x:c>
    </x:row>
    <x:row r="7">
      <x:c r="A7" s="18" t="str">
        <x:v>W5500 RESET</x:v>
      </x:c>
      <x:c r="B7" s="18" t="str">
        <x:v>GPIO8</x:v>
      </x:c>
      <x:c r="C7" s="18" t="str">
        <x:v>W5500 RESET</x:v>
      </x:c>
      <x:c r="D7" s="18" t="str"/>
    </x:row>
    <x:row r="8">
      <x:c r="A8" s="18" t="str">
        <x:v>W5500 INT</x:v>
      </x:c>
      <x:c r="B8" s="18" t="str">
        <x:v>GPIO9</x:v>
      </x:c>
      <x:c r="C8" s="18" t="str">
        <x:v>W5500 INT</x:v>
      </x:c>
      <x:c r="D8" s="18" t="str"/>
    </x:row>
    <x:row r="9">
      <x:c r="A9" s="18" t="str">
        <x:v>W5500 CS</x:v>
      </x:c>
      <x:c r="B9" s="18" t="str">
        <x:v>GPIO10</x:v>
      </x:c>
      <x:c r="C9" s="18" t="str">
        <x:v>W5500 CS</x:v>
      </x:c>
      <x:c r="D9" s="18" t="str"/>
    </x:row>
    <x:row r="10">
      <x:c r="A10" s="18" t="str">
        <x:v>W5500 MOSI</x:v>
      </x:c>
      <x:c r="B10" s="18" t="str">
        <x:v>GPIO11</x:v>
      </x:c>
      <x:c r="C10" s="18" t="str">
        <x:v>W5500 MOSI</x:v>
      </x:c>
      <x:c r="D10" s="18" t="str"/>
    </x:row>
    <x:row r="11">
      <x:c r="A11" s="18" t="str">
        <x:v>W5500 SCK</x:v>
      </x:c>
      <x:c r="B11" s="18" t="str">
        <x:v>GPIO12</x:v>
      </x:c>
      <x:c r="C11" s="18" t="str">
        <x:v>W5500 SCK</x:v>
      </x:c>
      <x:c r="D11" s="18" t="str"/>
    </x:row>
    <x:row r="12">
      <x:c r="A12" s="18" t="str">
        <x:v>W5500 MISO</x:v>
      </x:c>
      <x:c r="B12" s="18" t="str">
        <x:v>GPIO13</x:v>
      </x:c>
      <x:c r="C12" s="18" t="str">
        <x:v>W5500 MISO</x:v>
      </x:c>
      <x:c r="D12" s="18" t="str"/>
    </x:row>
    <x:row r="13">
      <x:c r="A13" s="18" t="str">
        <x:v>Tamper</x:v>
      </x:c>
      <x:c r="B13" s="18" t="str">
        <x:v>GPIO14</x:v>
      </x:c>
      <x:c r="C13" s="18" t="str">
        <x:v>cabinet tamper</x:v>
      </x:c>
      <x:c r="D13" s="18" t="str">
        <x:v>protected input</x:v>
      </x:c>
    </x:row>
    <x:row r="14">
      <x:c r="A14" s="18" t="str">
        <x:v>Power fail</x:v>
      </x:c>
      <x:c r="B14" s="18" t="str">
        <x:v>GPIO15</x:v>
      </x:c>
      <x:c r="C14" s="18" t="str">
        <x:v>isolated mains fail</x:v>
      </x:c>
      <x:c r="D14" s="18" t="str">
        <x:v>never connect mains directly</x:v>
      </x:c>
    </x:row>
    <x:row r="15">
      <x:c r="A15" s="18" t="str">
        <x:v>RS485 DE/RE</x:v>
      </x:c>
      <x:c r="B15" s="18" t="str">
        <x:v>GPIO16</x:v>
      </x:c>
      <x:c r="C15" s="18" t="str">
        <x:v>isolated transceiver</x:v>
      </x:c>
      <x:c r="D15" s="18" t="str"/>
    </x:row>
    <x:row r="16">
      <x:c r="A16" s="18" t="str">
        <x:v>RS485 TX</x:v>
      </x:c>
      <x:c r="B16" s="18" t="str">
        <x:v>GPIO17</x:v>
      </x:c>
      <x:c r="C16" s="18" t="str">
        <x:v>isolated transceiver DI</x:v>
      </x:c>
      <x:c r="D16" s="18" t="str"/>
    </x:row>
    <x:row r="17">
      <x:c r="A17" s="18" t="str">
        <x:v>RS485 RX</x:v>
      </x:c>
      <x:c r="B17" s="18" t="str">
        <x:v>GPIO18</x:v>
      </x:c>
      <x:c r="C17" s="18" t="str">
        <x:v>isolated transceiver RO</x:v>
      </x:c>
      <x:c r="D17" s="18" t="str"/>
    </x:row>
    <x:row r="18">
      <x:c r="A18" s="18" t="str">
        <x:v>Service button</x:v>
      </x:c>
      <x:c r="B18" s="18" t="str">
        <x:v>GPIO21</x:v>
      </x:c>
      <x:c r="C18" s="18" t="str">
        <x:v>local service button</x:v>
      </x:c>
      <x:c r="D18" s="18" t="str"/>
    </x:row>
    <x:row r="19">
      <x:c r="A19" s="18" t="str">
        <x:v>microSD CS</x:v>
      </x:c>
      <x:c r="B19" s="18" t="str">
        <x:v>GPIO39</x:v>
      </x:c>
      <x:c r="C19" s="18" t="str">
        <x:v>microSD</x:v>
      </x:c>
      <x:c r="D19" s="18" t="str"/>
    </x:row>
    <x:row r="20">
      <x:c r="A20" s="18" t="str">
        <x:v>microSD SCK</x:v>
      </x:c>
      <x:c r="B20" s="18" t="str">
        <x:v>GPIO40</x:v>
      </x:c>
      <x:c r="C20" s="18" t="str">
        <x:v>microSD</x:v>
      </x:c>
      <x:c r="D20" s="18" t="str"/>
    </x:row>
    <x:row r="21">
      <x:c r="A21" s="18" t="str">
        <x:v>microSD MOSI</x:v>
      </x:c>
      <x:c r="B21" s="18" t="str">
        <x:v>GPIO41</x:v>
      </x:c>
      <x:c r="C21" s="18" t="str">
        <x:v>microSD</x:v>
      </x:c>
      <x:c r="D21" s="18" t="str"/>
    </x:row>
    <x:row r="22">
      <x:c r="A22" s="18" t="str">
        <x:v>microSD MISO</x:v>
      </x:c>
      <x:c r="B22" s="18" t="str">
        <x:v>GPIO42</x:v>
      </x:c>
      <x:c r="C22" s="18" t="str">
        <x:v>microSD</x:v>
      </x:c>
      <x:c r="D22" s="18" t="str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c7c3888189d40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8" customHeight="1">
      <x:c r="A1" s="4" t="str">
        <x:v>HomeGuard-S3 preliminary power budget</x:v>
      </x:c>
      <x:c r="B1" s="4"/>
      <x:c r="C1" s="4"/>
      <x:c r="D1" s="4"/>
      <x:c r="E1" s="4"/>
    </x:row>
    <x:row r="2">
      <x:c r="A2" s="11" t="str">
        <x:v>Load</x:v>
      </x:c>
      <x:c r="B2" s="11" t="str">
        <x:v>Voltage V</x:v>
      </x:c>
      <x:c r="C2" s="11" t="str">
        <x:v>Current A</x:v>
      </x:c>
      <x:c r="D2" s="11" t="str">
        <x:v>Quantity</x:v>
      </x:c>
      <x:c r="E2" s="11" t="str">
        <x:v>Power W</x:v>
      </x:c>
    </x:row>
    <x:row r="3">
      <x:c r="A3" t="str">
        <x:v>ESP32-S3 board</x:v>
      </x:c>
      <x:c r="B3" s="26" t="n">
        <x:v>3.3</x:v>
      </x:c>
      <x:c r="C3" s="26" t="n">
        <x:v>0.5</x:v>
      </x:c>
      <x:c r="D3" s="26" t="n">
        <x:v>1</x:v>
      </x:c>
      <x:c r="E3" s="26" t="n">
        <x:f>B3*C3*D3</x:f>
        <x:v>1.65</x:v>
      </x:c>
    </x:row>
    <x:row r="4">
      <x:c r="A4" t="str">
        <x:v>W5500</x:v>
      </x:c>
      <x:c r="B4" s="26" t="n">
        <x:v>3.3</x:v>
      </x:c>
      <x:c r="C4" s="26" t="n">
        <x:v>0.18</x:v>
      </x:c>
      <x:c r="D4" s="26" t="n">
        <x:v>1</x:v>
      </x:c>
      <x:c r="E4" s="26" t="n">
        <x:f>B4*C4*D4</x:f>
        <x:v>0.594</x:v>
      </x:c>
    </x:row>
    <x:row r="5">
      <x:c r="A5" t="str">
        <x:v>microSD peak</x:v>
      </x:c>
      <x:c r="B5" s="26" t="n">
        <x:v>3.3</x:v>
      </x:c>
      <x:c r="C5" s="26" t="n">
        <x:v>0.2</x:v>
      </x:c>
      <x:c r="D5" s="26" t="n">
        <x:v>1</x:v>
      </x:c>
      <x:c r="E5" s="26" t="n">
        <x:f>B5*C5*D5</x:f>
        <x:v>0.66</x:v>
      </x:c>
    </x:row>
    <x:row r="6">
      <x:c r="A6" t="str">
        <x:v>I2C modules total</x:v>
      </x:c>
      <x:c r="B6" s="26" t="n">
        <x:v>3.3</x:v>
      </x:c>
      <x:c r="C6" s="26" t="n">
        <x:v>0.08</x:v>
      </x:c>
      <x:c r="D6" s="26" t="n">
        <x:v>1</x:v>
      </x:c>
      <x:c r="E6" s="26" t="n">
        <x:f>B6*C6*D6</x:f>
        <x:v>0.264</x:v>
      </x:c>
    </x:row>
    <x:row r="7">
      <x:c r="A7" t="str">
        <x:v>Two PT-506 loops</x:v>
      </x:c>
      <x:c r="B7" s="26" t="n">
        <x:v>12</x:v>
      </x:c>
      <x:c r="C7" s="26" t="n">
        <x:v>0.04</x:v>
      </x:c>
      <x:c r="D7" s="26" t="n">
        <x:v>1</x:v>
      </x:c>
      <x:c r="E7" s="26" t="n">
        <x:f>B7*C7*D7</x:f>
        <x:v>0.48</x:v>
      </x:c>
    </x:row>
    <x:row r="8">
      <x:c r="A8" t="str">
        <x:v>Five wired sensors allowance</x:v>
      </x:c>
      <x:c r="B8" s="26" t="n">
        <x:v>12</x:v>
      </x:c>
      <x:c r="C8" s="26" t="n">
        <x:v>0.1</x:v>
      </x:c>
      <x:c r="D8" s="26" t="n">
        <x:v>1</x:v>
      </x:c>
      <x:c r="E8" s="26" t="n">
        <x:f>B8*C8*D8</x:f>
        <x:v>1.2000000000000002</x:v>
      </x:c>
    </x:row>
    <x:row r="9">
      <x:c r="A9" t="str">
        <x:v>Valve cold estimate</x:v>
      </x:c>
      <x:c r="B9" s="26" t="n">
        <x:v>12</x:v>
      </x:c>
      <x:c r="C9" s="26" t="n">
        <x:v>1</x:v>
      </x:c>
      <x:c r="D9" s="26" t="n">
        <x:v>1</x:v>
      </x:c>
      <x:c r="E9" s="26" t="n">
        <x:f>B9*C9*D9</x:f>
        <x:v>12</x:v>
      </x:c>
    </x:row>
    <x:row r="10">
      <x:c r="A10" t="str">
        <x:v>Valve hot estimate</x:v>
      </x:c>
      <x:c r="B10" s="26" t="n">
        <x:v>12</x:v>
      </x:c>
      <x:c r="C10" s="26" t="n">
        <x:v>1</x:v>
      </x:c>
      <x:c r="D10" s="26" t="n">
        <x:v>1</x:v>
      </x:c>
      <x:c r="E10" s="26" t="n">
        <x:f>B10*C10*D10</x:f>
        <x:v>12</x:v>
      </x:c>
    </x:row>
    <x:row r="11">
      <x:c r="A11" t="str">
        <x:v>Siren/relay allowance</x:v>
      </x:c>
      <x:c r="B11" s="26" t="n">
        <x:v>12</x:v>
      </x:c>
      <x:c r="C11" s="26" t="n">
        <x:v>0.5</x:v>
      </x:c>
      <x:c r="D11" s="26" t="n">
        <x:v>1</x:v>
      </x:c>
      <x:c r="E11" s="26" t="n">
        <x:f>B11*C11*D11</x:f>
        <x:v>6</x:v>
      </x:c>
    </x:row>
    <x:row r="12">
      <x:c r="A12" s="23" t="str">
        <x:v>Estimated simultaneous maximum</x:v>
      </x:c>
      <x:c r="B12" s="27"/>
      <x:c r="C12" s="27"/>
      <x:c r="D12" s="27"/>
      <x:c r="E12" s="27" t="n">
        <x:f>SUM(E3:E11)</x:f>
        <x:v>34.848</x:v>
      </x:c>
    </x:row>
    <x:row r="13">
      <x:c r="A13" s="23" t="str">
        <x:v>Recommended 30% design margin</x:v>
      </x:c>
      <x:c r="B13" s="27"/>
      <x:c r="C13" s="27"/>
      <x:c r="D13" s="27"/>
      <x:c r="E13" s="27" t="n">
        <x:f>E12*1.3</x:f>
        <x:v>45.3024</x:v>
      </x:c>
    </x:row>
  </x:sheetData>
  <x:mergeCells>
    <x:mergeCell ref="A1:E1"/>
    <x:mergeCell ref="A12:D12"/>
    <x:mergeCell ref="A13:D13"/>
  </x:mergeCells>
  <x:pageMargins left="0.7" right="0.7" top="0.75" bottom="0.75" header="0.3" footer="0.3"/>
  <x:drawing xmlns:r="http://schemas.openxmlformats.org/officeDocument/2006/relationships" r:id="R414d6a601d55445a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4" hidden="0" customWidth="1"/>
    <x:col min="4" max="4" width="16" hidden="0" customWidth="1"/>
  </x:cols>
  <x:sheetData>
    <x:row r="1">
      <x:c r="A1" s="34" t="str">
        <x:v>Stage</x:v>
      </x:c>
      <x:c r="B1" s="34" t="str">
        <x:v>Check</x:v>
      </x:c>
      <x:c r="C1" s="34" t="str">
        <x:v>Expected result</x:v>
      </x:c>
      <x:c r="D1" s="34" t="str">
        <x:v>Status</x:v>
      </x:c>
    </x:row>
    <x:row r="2">
      <x:c r="A2" s="18" t="str">
        <x:v>0</x:v>
      </x:c>
      <x:c r="B2" s="18" t="str">
        <x:v>Continuity 3.3 V to GND</x:v>
      </x:c>
      <x:c r="C2" s="18" t="str">
        <x:v>No short circuit</x:v>
      </x:c>
      <x:c r="D2" s="18" t="str">
        <x:v>Not started</x:v>
      </x:c>
    </x:row>
    <x:row r="3">
      <x:c r="A3" s="18" t="str">
        <x:v>0</x:v>
      </x:c>
      <x:c r="B3" s="18" t="str">
        <x:v>Continuity 12 V to GND</x:v>
      </x:c>
      <x:c r="C3" s="18" t="str">
        <x:v>No short circuit</x:v>
      </x:c>
      <x:c r="D3" s="18" t="str">
        <x:v>Not started</x:v>
      </x:c>
    </x:row>
    <x:row r="4">
      <x:c r="A4" s="18" t="str">
        <x:v>1</x:v>
      </x:c>
      <x:c r="B4" s="18" t="str">
        <x:v>Power rails</x:v>
      </x:c>
      <x:c r="C4" s="18" t="str">
        <x:v>12 V, 5 V and 3.3 V within tolerance</x:v>
      </x:c>
      <x:c r="D4" s="18" t="str">
        <x:v>Not started</x:v>
      </x:c>
    </x:row>
    <x:row r="5">
      <x:c r="A5" s="18" t="str">
        <x:v>1</x:v>
      </x:c>
      <x:c r="B5" s="18" t="str">
        <x:v>Startup outputs</x:v>
      </x:c>
      <x:c r="C5" s="18" t="str">
        <x:v>All actuator outputs OFF</x:v>
      </x:c>
      <x:c r="D5" s="18" t="str">
        <x:v>Not started</x:v>
      </x:c>
    </x:row>
    <x:row r="6">
      <x:c r="A6" s="18" t="str">
        <x:v>2</x:v>
      </x:c>
      <x:c r="B6" s="18" t="str">
        <x:v>UART boot log</x:v>
      </x:c>
      <x:c r="C6" s="18" t="str">
        <x:v>Complete readable log</x:v>
      </x:c>
      <x:c r="D6" s="18" t="str">
        <x:v>Not started</x:v>
      </x:c>
    </x:row>
    <x:row r="7">
      <x:c r="A7" s="18" t="str">
        <x:v>2</x:v>
      </x:c>
      <x:c r="B7" s="18" t="str">
        <x:v>/api/v1/build</x:v>
      </x:c>
      <x:c r="C7" s="18" t="str">
        <x:v>Build information returned</x:v>
      </x:c>
      <x:c r="D7" s="18" t="str">
        <x:v>Not started</x:v>
      </x:c>
    </x:row>
    <x:row r="8">
      <x:c r="A8" s="18" t="str">
        <x:v>3</x:v>
      </x:c>
      <x:c r="B8" s="18" t="str">
        <x:v>I2C scan</x:v>
      </x:c>
      <x:c r="C8" s="18" t="str">
        <x:v>0x20, 0x40, 0x48, 0x49, 0x68 as installed</x:v>
      </x:c>
      <x:c r="D8" s="18" t="str">
        <x:v>Not started</x:v>
      </x:c>
    </x:row>
    <x:row r="9">
      <x:c r="A9" s="18" t="str">
        <x:v>4</x:v>
      </x:c>
      <x:c r="B9" s="18" t="str">
        <x:v>W5500 DHCP</x:v>
      </x:c>
      <x:c r="C9" s="18" t="str">
        <x:v>IPv4 address received</x:v>
      </x:c>
      <x:c r="D9" s="18" t="str">
        <x:v>Not started</x:v>
      </x:c>
    </x:row>
    <x:row r="10">
      <x:c r="A10" s="18" t="str">
        <x:v>4</x:v>
      </x:c>
      <x:c r="B10" s="18" t="str">
        <x:v>microSD</x:v>
      </x:c>
      <x:c r="C10" s="18" t="str">
        <x:v>Mounted and journal file created</x:v>
      </x:c>
      <x:c r="D10" s="18" t="str">
        <x:v>Not started</x:v>
      </x:c>
    </x:row>
    <x:row r="11">
      <x:c r="A11" s="18" t="str">
        <x:v>5</x:v>
      </x:c>
      <x:c r="B11" s="18" t="str">
        <x:v>Five zones</x:v>
      </x:c>
      <x:c r="C11" s="18" t="str">
        <x:v>Normal/alarm/short/open classified</x:v>
      </x:c>
      <x:c r="D11" s="18" t="str">
        <x:v>Not started</x:v>
      </x:c>
    </x:row>
    <x:row r="12">
      <x:c r="A12" s="18" t="str">
        <x:v>5</x:v>
      </x:c>
      <x:c r="B12" s="18" t="str">
        <x:v>Two PT-506 inputs</x:v>
      </x:c>
      <x:c r="C12" s="18" t="str">
        <x:v>0, 5 and 10 bar calibration points</x:v>
      </x:c>
      <x:c r="D12" s="18" t="str">
        <x:v>Not started</x:v>
      </x:c>
    </x:row>
    <x:row r="13">
      <x:c r="A13" s="18" t="str">
        <x:v>6</x:v>
      </x:c>
      <x:c r="B13" s="18" t="str">
        <x:v>Output interlock</x:v>
      </x:c>
      <x:c r="C13" s="18" t="str">
        <x:v>OPEN and CLOSE never simultaneous</x:v>
      </x:c>
      <x:c r="D13" s="18" t="str">
        <x:v>Not started</x:v>
      </x:c>
    </x:row>
    <x:row r="14">
      <x:c r="A14" s="18" t="str">
        <x:v>7</x:v>
      </x:c>
      <x:c r="B14" s="18" t="str">
        <x:v>Cold valve</x:v>
      </x:c>
      <x:c r="C14" s="18" t="str">
        <x:v>Limits and timeout work</x:v>
      </x:c>
      <x:c r="D14" s="18" t="str">
        <x:v>Not started</x:v>
      </x:c>
    </x:row>
    <x:row r="15">
      <x:c r="A15" s="18" t="str">
        <x:v>7</x:v>
      </x:c>
      <x:c r="B15" s="18" t="str">
        <x:v>Hot valve</x:v>
      </x:c>
      <x:c r="C15" s="18" t="str">
        <x:v>Limits and timeout work</x:v>
      </x:c>
      <x:c r="D15" s="18" t="str">
        <x:v>Not started</x:v>
      </x:c>
    </x:row>
    <x:row r="16">
      <x:c r="A16" s="18" t="str">
        <x:v>8</x:v>
      </x:c>
      <x:c r="B16" s="18" t="str">
        <x:v>Battery failover</x:v>
      </x:c>
      <x:c r="C16" s="18" t="str">
        <x:v>Runtime continues and event is logged</x:v>
      </x:c>
      <x:c r="D16" s="18" t="str">
        <x:v>Not started</x:v>
      </x:c>
    </x:row>
  </x:sheetData>
  <x:conditionalFormatting sqref="D2:D16">
    <x:cfRule type="expression" dxfId="0" priority="1">
      <x:formula>D2="Pass"</x:formula>
    </x:cfRule>
    <x:cfRule type="expression" dxfId="1" priority="2">
      <x:formula>D2="Fail"</x:formula>
    </x:cfRule>
    <x:cfRule type="expression" dxfId="2" priority="3">
      <x:formula>D2="Blocked"</x:formula>
    </x:cfRule>
  </x:conditionalFormatting>
  <x:dataValidations count="1">
    <x:dataValidation type="list" sqref="D2:D16">
      <x:formula1>"Not started,Pass,Fail,Blocked"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a6d24e1d9147cf"/>
  </x:tableParts>
</x:worksheet>
</file>